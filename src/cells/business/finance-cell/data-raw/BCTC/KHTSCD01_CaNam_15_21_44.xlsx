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húc - KTT\KTT_2025\Bao cao tai chinh N2025\"/>
    </mc:Choice>
  </mc:AlternateContent>
  <xr:revisionPtr revIDLastSave="0" documentId="8_{1EBF2C6B-FA0B-47C3-97DC-36142ACFBCAB}" xr6:coauthVersionLast="47" xr6:coauthVersionMax="47" xr10:uidLastSave="{00000000-0000-0000-0000-000000000000}"/>
  <bookViews>
    <workbookView xWindow="-120" yWindow="-120" windowWidth="29040" windowHeight="15720" tabRatio="381" firstSheet="1" activeTab="1" xr2:uid="{00000000-000D-0000-FFFF-FFFF00000000}"/>
  </bookViews>
  <sheets>
    <sheet name="KTCHUKY" sheetId="23" state="hidden" r:id="rId1"/>
    <sheet name="IN_NAM" sheetId="2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2" l="1"/>
  <c r="N18" i="22"/>
  <c r="M18" i="22"/>
  <c r="L18" i="22"/>
  <c r="K18" i="22"/>
  <c r="H18" i="22"/>
</calcChain>
</file>

<file path=xl/sharedStrings.xml><?xml version="1.0" encoding="utf-8"?>
<sst xmlns="http://schemas.openxmlformats.org/spreadsheetml/2006/main" count="151" uniqueCount="62">
  <si>
    <t>Mã số thuế : 0 3 0 2 9 4 4 9 7 4</t>
  </si>
  <si>
    <t xml:space="preserve"> Năm 2025</t>
  </si>
  <si>
    <t>Tên tài sản</t>
  </si>
  <si>
    <t>Nguyên giá</t>
  </si>
  <si>
    <t>Địa chỉ : 108/18  Đào Duy Anh F9 Quận Phú Nhuận</t>
  </si>
  <si>
    <t>BẢNG KHẤU HAO TÀI SẢN CỐ ĐỊNH</t>
  </si>
  <si>
    <t>Tổng cộng</t>
  </si>
  <si>
    <t>Người lập</t>
  </si>
  <si>
    <t xml:space="preserve">Kế toán trưởng </t>
  </si>
  <si>
    <t>Giám đốc</t>
  </si>
  <si>
    <t>Đầu năm</t>
  </si>
  <si>
    <t>Cuối năm</t>
  </si>
  <si>
    <t>Giá trị còn lại</t>
  </si>
  <si>
    <t>Lũy kế</t>
  </si>
  <si>
    <t>khấu hao</t>
  </si>
  <si>
    <t>Đối tượng</t>
  </si>
  <si>
    <t>sử dụng</t>
  </si>
  <si>
    <t>Khấu hao</t>
  </si>
  <si>
    <t>cả năm</t>
  </si>
  <si>
    <t>TK</t>
  </si>
  <si>
    <t>CP</t>
  </si>
  <si>
    <t>TS</t>
  </si>
  <si>
    <t>Ngày</t>
  </si>
  <si>
    <t>mua</t>
  </si>
  <si>
    <t>Thời</t>
  </si>
  <si>
    <t>gian KH</t>
  </si>
  <si>
    <t>HM</t>
  </si>
  <si>
    <t>Mã</t>
  </si>
  <si>
    <t>Võ Thị Thanh Hiền</t>
  </si>
  <si>
    <t>Ngày 31 tháng 12 năm 2025</t>
  </si>
  <si>
    <t>.</t>
  </si>
  <si>
    <t>KHVHD284</t>
  </si>
  <si>
    <t>Kính hiển vi kỹ thuật số Model 5</t>
  </si>
  <si>
    <t/>
  </si>
  <si>
    <t>21112</t>
  </si>
  <si>
    <t>6414</t>
  </si>
  <si>
    <t>2141</t>
  </si>
  <si>
    <t>MAYHAN122</t>
  </si>
  <si>
    <t>Máy hàn laser HD122</t>
  </si>
  <si>
    <t>PSX</t>
  </si>
  <si>
    <t>154</t>
  </si>
  <si>
    <t>MAYHANLASER36</t>
  </si>
  <si>
    <t>Máy hàn laser HD36</t>
  </si>
  <si>
    <t>TSCD0001</t>
  </si>
  <si>
    <t>Máy đo các thông số kỹ thuật của kim cương tự nhiên hiệu THERMO, model Nicolet iS5 STIR</t>
  </si>
  <si>
    <t>TSCD0002</t>
  </si>
  <si>
    <t>Xe ô tô con 7 chỗ Land Rover LWB biển số: 51K - 867.89</t>
  </si>
  <si>
    <t>21113</t>
  </si>
  <si>
    <t>6424</t>
  </si>
  <si>
    <t>TSCD0003</t>
  </si>
  <si>
    <t>Máy hàn laser</t>
  </si>
  <si>
    <t>TSCD37</t>
  </si>
  <si>
    <t xml:space="preserve">Máy hàn laser </t>
  </si>
  <si>
    <t>BP Chế tác</t>
  </si>
  <si>
    <t>TSCDHD194</t>
  </si>
  <si>
    <t>Máy kiểm tra phân loại đá quý DAISYNTH HD194</t>
  </si>
  <si>
    <t>CT</t>
  </si>
  <si>
    <t>XECARNIVAL</t>
  </si>
  <si>
    <t>Xe KIA CARNIVAL 51K-19012</t>
  </si>
  <si>
    <t>CÔNG TY TNHH TÂM LUXURY</t>
  </si>
  <si>
    <t>Địa chỉ : 714-716 Trần Hưng Đạo, Phường 02, Quận 5, Thành phố Hồ Chí Minh, Việt Nam</t>
  </si>
  <si>
    <t>Mã số thuế : 0316379948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</si>
</sst>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;[Red]\(#,##0\)"/>
  </numFmts>
  <fonts count="17">
    <font>
      <sz val="10"/>
      <name val="vni-times"/>
      <family val="2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i/>
      <sz val="14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sz val="13"/>
      <name val="Times New Roman"/>
      <family val="1"/>
    </font>
    <font>
      <b/>
      <sz val="10"/>
      <name val="Times New Roman"/>
      <family val="1"/>
    </font>
    <font>
      <sz val="10"/>
      <name val="vni-times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61">
    <xf numFmtId="0" fontId="0" fillId="0" borderId="0" xfId="0"/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0" fontId="5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7" fillId="0" borderId="0" xfId="0" applyFont="1"/>
    <xf numFmtId="3" fontId="7" fillId="0" borderId="1" xfId="0" applyNumberFormat="1" applyFont="1" applyBorder="1"/>
    <xf numFmtId="14" fontId="7" fillId="0" borderId="1" xfId="0" applyNumberFormat="1" applyFont="1" applyBorder="1"/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64" fontId="6" fillId="0" borderId="0" xfId="1" applyNumberFormat="1" applyFont="1" applyFill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/>
    </xf>
    <xf numFmtId="3" fontId="10" fillId="0" borderId="2" xfId="0" applyNumberFormat="1" applyFont="1" applyBorder="1" applyAlignment="1">
      <alignment vertical="center"/>
    </xf>
    <xf numFmtId="3" fontId="10" fillId="0" borderId="2" xfId="1" applyNumberFormat="1" applyFont="1" applyFill="1" applyBorder="1" applyAlignment="1">
      <alignment horizontal="center" vertical="center"/>
    </xf>
    <xf numFmtId="49" fontId="12" fillId="0" borderId="0" xfId="0" applyNumberFormat="1" applyFont="1" applyAlignment="1">
      <alignment horizontal="left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Continuous" vertical="center" wrapText="1"/>
    </xf>
    <xf numFmtId="0" fontId="10" fillId="0" borderId="0" xfId="0" applyFont="1"/>
    <xf numFmtId="0" fontId="9" fillId="2" borderId="5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/>
    </xf>
    <xf numFmtId="49" fontId="7" fillId="0" borderId="1" xfId="0" applyNumberFormat="1" applyFont="1" applyBorder="1" applyAlignment="1">
      <alignment horizontal="center" shrinkToFit="1"/>
    </xf>
    <xf numFmtId="49" fontId="7" fillId="0" borderId="1" xfId="0" applyNumberFormat="1" applyFont="1" applyBorder="1" applyAlignment="1">
      <alignment shrinkToFit="1"/>
    </xf>
    <xf numFmtId="49" fontId="9" fillId="0" borderId="4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vertical="center"/>
    </xf>
    <xf numFmtId="3" fontId="9" fillId="0" borderId="4" xfId="0" applyNumberFormat="1" applyFont="1" applyBorder="1" applyAlignment="1">
      <alignment vertical="center"/>
    </xf>
    <xf numFmtId="49" fontId="9" fillId="0" borderId="4" xfId="1" applyNumberFormat="1" applyFont="1" applyFill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vertical="center"/>
    </xf>
    <xf numFmtId="49" fontId="10" fillId="0" borderId="2" xfId="0" applyNumberFormat="1" applyFont="1" applyBorder="1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15" fillId="0" borderId="4" xfId="0" quotePrefix="1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0" fontId="7" fillId="0" borderId="0" xfId="0" quotePrefix="1" applyFont="1"/>
    <xf numFmtId="0" fontId="7" fillId="0" borderId="1" xfId="0" quotePrefix="1" applyFont="1" applyBorder="1"/>
    <xf numFmtId="0" fontId="7" fillId="0" borderId="6" xfId="0" quotePrefix="1" applyFont="1" applyBorder="1"/>
    <xf numFmtId="0" fontId="7" fillId="0" borderId="1" xfId="0" quotePrefix="1" applyFont="1" applyBorder="1" applyAlignment="1">
      <alignment wrapText="1"/>
    </xf>
    <xf numFmtId="165" fontId="7" fillId="0" borderId="1" xfId="0" applyNumberFormat="1" applyFont="1" applyBorder="1" applyAlignment="1">
      <alignment shrinkToFit="1"/>
    </xf>
    <xf numFmtId="14" fontId="7" fillId="0" borderId="1" xfId="0" applyNumberFormat="1" applyFont="1" applyBorder="1" applyAlignment="1">
      <alignment shrinkToFit="1"/>
    </xf>
    <xf numFmtId="165" fontId="13" fillId="0" borderId="1" xfId="1" applyNumberFormat="1" applyFont="1" applyBorder="1" applyAlignment="1">
      <alignment shrinkToFi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165" fontId="15" fillId="0" borderId="1" xfId="0" applyNumberFormat="1" applyFont="1" applyBorder="1" applyAlignment="1">
      <alignment shrinkToFit="1"/>
    </xf>
    <xf numFmtId="14" fontId="15" fillId="0" borderId="1" xfId="0" applyNumberFormat="1" applyFont="1" applyBorder="1" applyAlignment="1">
      <alignment shrinkToFit="1"/>
    </xf>
    <xf numFmtId="165" fontId="7" fillId="0" borderId="1" xfId="0" quotePrefix="1" applyNumberFormat="1" applyFont="1" applyBorder="1" applyAlignment="1">
      <alignment shrinkToFit="1"/>
    </xf>
    <xf numFmtId="14" fontId="7" fillId="0" borderId="1" xfId="0" quotePrefix="1" applyNumberFormat="1" applyFont="1" applyBorder="1" applyAlignment="1">
      <alignment shrinkToFit="1"/>
    </xf>
    <xf numFmtId="0" fontId="7" fillId="0" borderId="0" xfId="0" quotePrefix="1" applyFont="1" applyAlignment="1">
      <alignment wrapText="1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FD6F-761D-4C57-93D4-84C91B910BB9}">
  <dimension ref="A1:IV22"/>
  <sheetViews>
    <sheetView topLeftCell="A7" workbookViewId="0">
      <selection activeCell="L18" sqref="L18"/>
    </sheetView>
  </sheetViews>
  <sheetFormatPr defaultColWidth="10" defaultRowHeight="16.5"/>
  <cols>
    <col min="1" max="1" width="5.42578125" style="9" customWidth="1"/>
    <col min="2" max="2" width="25.7109375" style="4" customWidth="1"/>
    <col min="3" max="3" width="20.7109375" style="4" customWidth="1"/>
    <col min="4" max="6" width="5.7109375" style="4" customWidth="1"/>
    <col min="7" max="8" width="12.7109375" style="4" customWidth="1"/>
    <col min="9" max="9" width="8.7109375" style="4" customWidth="1"/>
    <col min="10" max="10" width="4.7109375" style="4" customWidth="1"/>
    <col min="11" max="14" width="12.7109375" style="4" customWidth="1"/>
    <col min="15" max="255" width="10" style="4" customWidth="1"/>
    <col min="256" max="16384" width="10" style="41"/>
  </cols>
  <sheetData>
    <row r="1" spans="1:256">
      <c r="A1" s="30" t="s">
        <v>0</v>
      </c>
      <c r="B1" s="1"/>
      <c r="C1" s="1"/>
      <c r="D1" s="1"/>
      <c r="E1" s="1"/>
      <c r="F1" s="2"/>
      <c r="G1" s="2"/>
      <c r="H1" s="2"/>
      <c r="I1" s="2"/>
      <c r="J1" s="3"/>
      <c r="K1" s="2"/>
    </row>
    <row r="2" spans="1:256">
      <c r="A2" s="30" t="s">
        <v>4</v>
      </c>
      <c r="B2" s="1"/>
      <c r="C2" s="1"/>
      <c r="D2" s="1"/>
      <c r="E2" s="1"/>
      <c r="F2" s="2"/>
      <c r="G2" s="2"/>
      <c r="H2" s="2"/>
      <c r="I2" s="2"/>
      <c r="J2" s="3"/>
      <c r="K2" s="2"/>
    </row>
    <row r="3" spans="1:256">
      <c r="A3" s="1"/>
      <c r="B3" s="1"/>
      <c r="C3" s="1"/>
      <c r="D3" s="1"/>
      <c r="E3" s="1"/>
      <c r="F3" s="2"/>
      <c r="G3" s="2"/>
      <c r="H3" s="2"/>
      <c r="I3" s="2"/>
      <c r="J3" s="3"/>
      <c r="K3" s="2"/>
    </row>
    <row r="4" spans="1:256" s="8" customFormat="1" ht="19.5">
      <c r="A4" s="5" t="s">
        <v>5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IV4" s="41"/>
    </row>
    <row r="5" spans="1:256">
      <c r="I5" s="10"/>
      <c r="J5" s="10"/>
      <c r="K5" s="10"/>
    </row>
    <row r="6" spans="1:256" customFormat="1" ht="12.75"/>
    <row r="7" spans="1:256" customFormat="1" ht="12.75"/>
    <row r="8" spans="1:256" s="11" customFormat="1">
      <c r="IV8" s="41"/>
    </row>
    <row r="9" spans="1:256" s="11" customFormat="1" ht="18" customHeight="1">
      <c r="A9" s="12"/>
      <c r="B9" s="20"/>
      <c r="C9" s="21"/>
      <c r="D9" s="31"/>
      <c r="E9" s="32"/>
      <c r="F9" s="32"/>
      <c r="G9" s="12"/>
      <c r="H9" s="12"/>
      <c r="I9" s="13"/>
      <c r="J9" s="12"/>
      <c r="K9" s="12"/>
      <c r="L9" s="12"/>
      <c r="M9" s="12"/>
      <c r="N9" s="12"/>
      <c r="IV9" s="41"/>
    </row>
    <row r="10" spans="1:256" s="11" customFormat="1">
      <c r="IV10" s="41"/>
    </row>
    <row r="11" spans="1:256" s="11" customFormat="1">
      <c r="IV11" s="41"/>
    </row>
    <row r="12" spans="1:256" s="14" customFormat="1" ht="26.25" customHeight="1">
      <c r="A12" s="43"/>
      <c r="B12" s="44" t="s">
        <v>6</v>
      </c>
      <c r="C12" s="33"/>
      <c r="D12" s="34"/>
      <c r="E12" s="34"/>
      <c r="F12" s="34"/>
      <c r="G12" s="35"/>
      <c r="H12" s="35"/>
      <c r="I12" s="34"/>
      <c r="J12" s="36"/>
      <c r="K12" s="35"/>
      <c r="L12" s="35"/>
      <c r="M12" s="35"/>
      <c r="N12" s="35"/>
      <c r="IV12" s="42"/>
    </row>
    <row r="13" spans="1:256" s="14" customFormat="1" ht="26.25" customHeight="1">
      <c r="A13" s="15"/>
      <c r="B13" s="16"/>
      <c r="C13" s="16"/>
      <c r="D13" s="17"/>
      <c r="H13" s="17"/>
      <c r="I13" s="17"/>
      <c r="J13" s="18"/>
      <c r="K13" s="17"/>
      <c r="L13" s="17"/>
      <c r="M13" s="17"/>
      <c r="N13" s="17"/>
      <c r="IV13" s="42"/>
    </row>
    <row r="14" spans="1:256" s="14" customFormat="1" ht="21.75" customHeight="1">
      <c r="A14" s="19"/>
      <c r="B14" s="37"/>
      <c r="C14" s="40"/>
      <c r="D14" s="38"/>
      <c r="E14" s="39"/>
      <c r="F14" s="39"/>
      <c r="G14" s="22"/>
      <c r="H14" s="22"/>
      <c r="I14" s="22"/>
      <c r="J14" s="23"/>
      <c r="K14" s="22"/>
      <c r="L14" s="22"/>
      <c r="M14" s="22"/>
      <c r="N14" s="22"/>
      <c r="IV14" s="42"/>
    </row>
    <row r="16" spans="1:256">
      <c r="L16" s="9" t="s">
        <v>29</v>
      </c>
    </row>
    <row r="17" spans="3:12">
      <c r="C17" s="2" t="s">
        <v>7</v>
      </c>
      <c r="H17" s="9" t="s">
        <v>8</v>
      </c>
      <c r="L17" s="9" t="s">
        <v>9</v>
      </c>
    </row>
    <row r="18" spans="3:12">
      <c r="L18" s="9"/>
    </row>
    <row r="19" spans="3:12">
      <c r="L19" s="9"/>
    </row>
    <row r="20" spans="3:12">
      <c r="L20" s="9"/>
    </row>
    <row r="21" spans="3:12">
      <c r="L21" s="9"/>
    </row>
    <row r="22" spans="3:12">
      <c r="C22" s="2" t="s">
        <v>30</v>
      </c>
      <c r="H22" s="9" t="s">
        <v>30</v>
      </c>
      <c r="L22" s="9" t="s">
        <v>28</v>
      </c>
    </row>
  </sheetData>
  <pageMargins left="0.16" right="0.16" top="0.28999999999999998" bottom="0.32" header="0.21" footer="0.23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08237-0873-444E-ACE7-A3B8FDF3B578}">
  <dimension ref="A1:IV31"/>
  <sheetViews>
    <sheetView showGridLine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L14" sqref="L14"/>
    </sheetView>
  </sheetViews>
  <sheetFormatPr defaultColWidth="10" defaultRowHeight="16.5"/>
  <cols>
    <col min="1" max="1" width="5.42578125" style="11" customWidth="1"/>
    <col min="2" max="2" width="30.7109375" style="11" customWidth="1"/>
    <col min="3" max="3" width="15.7109375" style="11" customWidth="1"/>
    <col min="4" max="6" width="5.7109375" style="11" customWidth="1"/>
    <col min="7" max="8" width="12.7109375" style="11" customWidth="1"/>
    <col min="9" max="9" width="8.7109375" style="11" customWidth="1"/>
    <col min="10" max="10" width="5.140625" style="11" customWidth="1"/>
    <col min="11" max="14" width="12.7109375" style="11" customWidth="1"/>
    <col min="15" max="15" width="10" style="11" hidden="1" customWidth="1"/>
    <col min="16" max="255" width="10" style="11" customWidth="1"/>
    <col min="256" max="16384" width="10" style="41"/>
  </cols>
  <sheetData>
    <row r="1" spans="1:256" s="4" customFormat="1">
      <c r="A1" s="24" t="s">
        <v>59</v>
      </c>
      <c r="B1" s="11"/>
      <c r="C1" s="1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IV1" s="41"/>
    </row>
    <row r="2" spans="1:256" s="4" customFormat="1">
      <c r="A2" s="24" t="s">
        <v>60</v>
      </c>
      <c r="B2" s="11"/>
      <c r="C2" s="1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IV2" s="41"/>
    </row>
    <row r="3" spans="1:256" s="4" customFormat="1">
      <c r="A3" s="24" t="s">
        <v>61</v>
      </c>
      <c r="B3" s="11"/>
      <c r="C3" s="1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IV3" s="41"/>
    </row>
    <row r="4" spans="1:256" s="4" customFormat="1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2"/>
      <c r="N4" s="2"/>
      <c r="IV4" s="41"/>
    </row>
    <row r="5" spans="1:256" s="8" customFormat="1" ht="19.5">
      <c r="A5" s="5" t="s">
        <v>5</v>
      </c>
      <c r="B5" s="6"/>
      <c r="C5" s="6"/>
      <c r="D5" s="6"/>
      <c r="E5" s="6"/>
      <c r="F5" s="6"/>
      <c r="G5" s="6"/>
      <c r="H5" s="6"/>
      <c r="I5" s="6"/>
      <c r="J5" s="7"/>
      <c r="K5" s="7"/>
      <c r="L5" s="7"/>
      <c r="M5" s="7"/>
      <c r="N5" s="7"/>
      <c r="IV5" s="41"/>
    </row>
    <row r="6" spans="1:256" s="8" customFormat="1" ht="19.5">
      <c r="A6" s="5" t="s">
        <v>1</v>
      </c>
      <c r="B6" s="6"/>
      <c r="C6" s="6"/>
      <c r="D6" s="6"/>
      <c r="E6" s="6"/>
      <c r="F6" s="6"/>
      <c r="G6" s="6"/>
      <c r="H6" s="6"/>
      <c r="I6" s="6"/>
      <c r="J6" s="7"/>
      <c r="K6" s="7"/>
      <c r="L6" s="7"/>
      <c r="M6" s="7"/>
      <c r="N6" s="7"/>
      <c r="IV6" s="41"/>
    </row>
    <row r="7" spans="1:256" s="27" customFormat="1" ht="17.100000000000001" customHeight="1">
      <c r="A7" s="25" t="s">
        <v>27</v>
      </c>
      <c r="B7" s="25" t="s">
        <v>2</v>
      </c>
      <c r="C7" s="25" t="s">
        <v>15</v>
      </c>
      <c r="D7" s="25" t="s">
        <v>19</v>
      </c>
      <c r="E7" s="25" t="s">
        <v>19</v>
      </c>
      <c r="F7" s="25" t="s">
        <v>19</v>
      </c>
      <c r="G7" s="26" t="s">
        <v>3</v>
      </c>
      <c r="H7" s="26"/>
      <c r="I7" s="25" t="s">
        <v>22</v>
      </c>
      <c r="J7" s="25" t="s">
        <v>24</v>
      </c>
      <c r="K7" s="25" t="s">
        <v>17</v>
      </c>
      <c r="L7" s="25" t="s">
        <v>13</v>
      </c>
      <c r="M7" s="26" t="s">
        <v>12</v>
      </c>
      <c r="N7" s="26"/>
      <c r="IV7" s="41"/>
    </row>
    <row r="8" spans="1:256" s="27" customFormat="1" ht="26.25" customHeight="1">
      <c r="A8" s="28" t="s">
        <v>21</v>
      </c>
      <c r="B8" s="28"/>
      <c r="C8" s="28" t="s">
        <v>16</v>
      </c>
      <c r="D8" s="28" t="s">
        <v>21</v>
      </c>
      <c r="E8" s="28" t="s">
        <v>20</v>
      </c>
      <c r="F8" s="28" t="s">
        <v>26</v>
      </c>
      <c r="G8" s="29" t="s">
        <v>10</v>
      </c>
      <c r="H8" s="29" t="s">
        <v>11</v>
      </c>
      <c r="I8" s="28" t="s">
        <v>23</v>
      </c>
      <c r="J8" s="28" t="s">
        <v>25</v>
      </c>
      <c r="K8" s="28" t="s">
        <v>18</v>
      </c>
      <c r="L8" s="28" t="s">
        <v>14</v>
      </c>
      <c r="M8" s="29" t="s">
        <v>10</v>
      </c>
      <c r="N8" s="29" t="s">
        <v>11</v>
      </c>
      <c r="IV8" s="41"/>
    </row>
    <row r="9" spans="1:256">
      <c r="A9" s="47" t="s">
        <v>31</v>
      </c>
      <c r="B9" s="48" t="s">
        <v>32</v>
      </c>
      <c r="C9" s="46" t="s">
        <v>33</v>
      </c>
      <c r="D9" s="46" t="s">
        <v>34</v>
      </c>
      <c r="E9" s="46" t="s">
        <v>35</v>
      </c>
      <c r="F9" s="46" t="s">
        <v>36</v>
      </c>
      <c r="G9" s="49">
        <v>23980000</v>
      </c>
      <c r="H9" s="49">
        <v>23980000</v>
      </c>
      <c r="I9" s="50">
        <v>45629</v>
      </c>
      <c r="J9" s="49">
        <v>60</v>
      </c>
      <c r="K9" s="51">
        <v>4796004</v>
      </c>
      <c r="L9" s="49">
        <v>5195671</v>
      </c>
      <c r="M9" s="49">
        <v>23580333</v>
      </c>
      <c r="N9" s="49">
        <v>18784329</v>
      </c>
      <c r="O9" s="11">
        <v>1</v>
      </c>
    </row>
    <row r="10" spans="1:256">
      <c r="A10" s="46" t="s">
        <v>37</v>
      </c>
      <c r="B10" s="48" t="s">
        <v>38</v>
      </c>
      <c r="C10" s="46" t="s">
        <v>39</v>
      </c>
      <c r="D10" s="46" t="s">
        <v>34</v>
      </c>
      <c r="E10" s="46" t="s">
        <v>40</v>
      </c>
      <c r="F10" s="46" t="s">
        <v>36</v>
      </c>
      <c r="G10" s="49">
        <v>129600000</v>
      </c>
      <c r="H10" s="49">
        <v>129600000</v>
      </c>
      <c r="I10" s="50">
        <v>45598</v>
      </c>
      <c r="J10" s="49">
        <v>84</v>
      </c>
      <c r="K10" s="49">
        <v>18514284</v>
      </c>
      <c r="L10" s="49">
        <v>21599998</v>
      </c>
      <c r="M10" s="49">
        <v>126514286</v>
      </c>
      <c r="N10" s="49">
        <v>108000002</v>
      </c>
      <c r="O10" s="11">
        <v>2</v>
      </c>
    </row>
    <row r="11" spans="1:256">
      <c r="A11" s="46" t="s">
        <v>41</v>
      </c>
      <c r="B11" s="48" t="s">
        <v>42</v>
      </c>
      <c r="C11" s="46" t="s">
        <v>39</v>
      </c>
      <c r="D11" s="46" t="s">
        <v>34</v>
      </c>
      <c r="E11" s="46" t="s">
        <v>40</v>
      </c>
      <c r="F11" s="46" t="s">
        <v>36</v>
      </c>
      <c r="G11" s="49">
        <v>0</v>
      </c>
      <c r="H11" s="49">
        <v>129600000</v>
      </c>
      <c r="I11" s="50">
        <v>45741</v>
      </c>
      <c r="J11" s="49">
        <v>84</v>
      </c>
      <c r="K11" s="49">
        <v>13885713</v>
      </c>
      <c r="L11" s="49">
        <v>13885713</v>
      </c>
      <c r="M11" s="49">
        <v>0</v>
      </c>
      <c r="N11" s="49">
        <v>115714287</v>
      </c>
      <c r="O11" s="11">
        <v>3</v>
      </c>
    </row>
    <row r="12" spans="1:256" ht="39">
      <c r="A12" s="46" t="s">
        <v>43</v>
      </c>
      <c r="B12" s="48" t="s">
        <v>44</v>
      </c>
      <c r="C12" s="46" t="s">
        <v>33</v>
      </c>
      <c r="D12" s="46" t="s">
        <v>34</v>
      </c>
      <c r="E12" s="46" t="s">
        <v>35</v>
      </c>
      <c r="F12" s="46" t="s">
        <v>36</v>
      </c>
      <c r="G12" s="49">
        <v>641954255</v>
      </c>
      <c r="H12" s="49">
        <v>641954255</v>
      </c>
      <c r="I12" s="50">
        <v>45061</v>
      </c>
      <c r="J12" s="49">
        <v>84</v>
      </c>
      <c r="K12" s="49">
        <v>91707744</v>
      </c>
      <c r="L12" s="49">
        <v>236911675</v>
      </c>
      <c r="M12" s="49">
        <v>496750324</v>
      </c>
      <c r="N12" s="49">
        <v>405042580</v>
      </c>
      <c r="O12" s="11">
        <v>4</v>
      </c>
    </row>
    <row r="13" spans="1:256" ht="26.25">
      <c r="A13" s="46" t="s">
        <v>45</v>
      </c>
      <c r="B13" s="48" t="s">
        <v>46</v>
      </c>
      <c r="C13" s="46" t="s">
        <v>33</v>
      </c>
      <c r="D13" s="46" t="s">
        <v>47</v>
      </c>
      <c r="E13" s="46" t="s">
        <v>48</v>
      </c>
      <c r="F13" s="46" t="s">
        <v>36</v>
      </c>
      <c r="G13" s="49">
        <v>14103000000</v>
      </c>
      <c r="H13" s="49">
        <v>14103000000</v>
      </c>
      <c r="I13" s="50">
        <v>45240</v>
      </c>
      <c r="J13" s="49">
        <v>120</v>
      </c>
      <c r="K13" s="49">
        <v>1410300000</v>
      </c>
      <c r="L13" s="49">
        <v>3055650000</v>
      </c>
      <c r="M13" s="49">
        <v>12457650000</v>
      </c>
      <c r="N13" s="49">
        <v>11047350000</v>
      </c>
      <c r="O13" s="11">
        <v>5</v>
      </c>
    </row>
    <row r="14" spans="1:256">
      <c r="A14" s="46" t="s">
        <v>49</v>
      </c>
      <c r="B14" s="48" t="s">
        <v>50</v>
      </c>
      <c r="C14" s="46" t="s">
        <v>33</v>
      </c>
      <c r="D14" s="46" t="s">
        <v>34</v>
      </c>
      <c r="E14" s="46" t="s">
        <v>40</v>
      </c>
      <c r="F14" s="46" t="s">
        <v>36</v>
      </c>
      <c r="G14" s="49">
        <v>129600000</v>
      </c>
      <c r="H14" s="49">
        <v>129600000</v>
      </c>
      <c r="I14" s="50">
        <v>45355</v>
      </c>
      <c r="J14" s="49">
        <v>84</v>
      </c>
      <c r="K14" s="49">
        <v>18514284</v>
      </c>
      <c r="L14" s="49">
        <v>33942854</v>
      </c>
      <c r="M14" s="49">
        <v>114171430</v>
      </c>
      <c r="N14" s="49">
        <v>95657146</v>
      </c>
      <c r="O14" s="11">
        <v>6</v>
      </c>
    </row>
    <row r="15" spans="1:256">
      <c r="A15" s="46" t="s">
        <v>51</v>
      </c>
      <c r="B15" s="48" t="s">
        <v>52</v>
      </c>
      <c r="C15" s="46" t="s">
        <v>53</v>
      </c>
      <c r="D15" s="46" t="s">
        <v>34</v>
      </c>
      <c r="E15" s="46" t="s">
        <v>40</v>
      </c>
      <c r="F15" s="46" t="s">
        <v>36</v>
      </c>
      <c r="G15" s="49">
        <v>129600000</v>
      </c>
      <c r="H15" s="49">
        <v>129600000</v>
      </c>
      <c r="I15" s="50">
        <v>45415</v>
      </c>
      <c r="J15" s="49">
        <v>84</v>
      </c>
      <c r="K15" s="49">
        <v>18514284</v>
      </c>
      <c r="L15" s="49">
        <v>30857140</v>
      </c>
      <c r="M15" s="49">
        <v>117257144</v>
      </c>
      <c r="N15" s="49">
        <v>98742860</v>
      </c>
      <c r="O15" s="11">
        <v>7</v>
      </c>
    </row>
    <row r="16" spans="1:256" ht="26.25">
      <c r="A16" s="46" t="s">
        <v>54</v>
      </c>
      <c r="B16" s="48" t="s">
        <v>55</v>
      </c>
      <c r="C16" s="46" t="s">
        <v>56</v>
      </c>
      <c r="D16" s="46" t="s">
        <v>34</v>
      </c>
      <c r="E16" s="46" t="s">
        <v>40</v>
      </c>
      <c r="F16" s="46" t="s">
        <v>36</v>
      </c>
      <c r="G16" s="49">
        <v>441199998</v>
      </c>
      <c r="H16" s="49">
        <v>441199998</v>
      </c>
      <c r="I16" s="50">
        <v>45463</v>
      </c>
      <c r="J16" s="49">
        <v>84</v>
      </c>
      <c r="K16" s="49">
        <v>63028572</v>
      </c>
      <c r="L16" s="49">
        <v>99795239</v>
      </c>
      <c r="M16" s="49">
        <v>404433331</v>
      </c>
      <c r="N16" s="49">
        <v>341404759</v>
      </c>
      <c r="O16" s="11">
        <v>8</v>
      </c>
    </row>
    <row r="17" spans="1:15">
      <c r="A17" s="46" t="s">
        <v>57</v>
      </c>
      <c r="B17" s="48" t="s">
        <v>58</v>
      </c>
      <c r="C17" s="46" t="s">
        <v>33</v>
      </c>
      <c r="D17" s="46" t="s">
        <v>47</v>
      </c>
      <c r="E17" s="46" t="s">
        <v>35</v>
      </c>
      <c r="F17" s="46" t="s">
        <v>36</v>
      </c>
      <c r="G17" s="49">
        <v>1520034000</v>
      </c>
      <c r="H17" s="49">
        <v>1520034000</v>
      </c>
      <c r="I17" s="50">
        <v>45575</v>
      </c>
      <c r="J17" s="49">
        <v>72</v>
      </c>
      <c r="K17" s="49">
        <v>253338996</v>
      </c>
      <c r="L17" s="49">
        <v>316673745</v>
      </c>
      <c r="M17" s="49">
        <v>1456699251</v>
      </c>
      <c r="N17" s="49">
        <v>1203360255</v>
      </c>
      <c r="O17" s="11">
        <v>9</v>
      </c>
    </row>
    <row r="18" spans="1:15">
      <c r="A18" s="52"/>
      <c r="B18" s="53" t="s">
        <v>6</v>
      </c>
      <c r="C18" s="52"/>
      <c r="D18" s="52"/>
      <c r="E18" s="52"/>
      <c r="F18" s="52"/>
      <c r="G18" s="54">
        <f>SUM(G9:G17)</f>
        <v>17118968253</v>
      </c>
      <c r="H18" s="54">
        <f>SUM(H9:H17)</f>
        <v>17248568253</v>
      </c>
      <c r="I18" s="55"/>
      <c r="J18" s="54"/>
      <c r="K18" s="54">
        <f>SUM(K9:K17)</f>
        <v>1892599881</v>
      </c>
      <c r="L18" s="54">
        <f>SUM(L9:L17)</f>
        <v>3814512035</v>
      </c>
      <c r="M18" s="54">
        <f>SUM(M9:M17)</f>
        <v>15197056099</v>
      </c>
      <c r="N18" s="54">
        <f>SUM(N9:N17)</f>
        <v>13434056218</v>
      </c>
    </row>
    <row r="19" spans="1:15">
      <c r="B19" s="58" t="s">
        <v>33</v>
      </c>
      <c r="C19" s="45" t="s">
        <v>33</v>
      </c>
      <c r="D19" s="46" t="s">
        <v>33</v>
      </c>
      <c r="E19" s="46" t="s">
        <v>40</v>
      </c>
      <c r="F19" s="46" t="s">
        <v>33</v>
      </c>
      <c r="G19" s="56" t="s">
        <v>33</v>
      </c>
      <c r="H19" s="56" t="s">
        <v>33</v>
      </c>
      <c r="I19" s="57" t="s">
        <v>33</v>
      </c>
      <c r="J19" s="56" t="s">
        <v>33</v>
      </c>
      <c r="K19" s="49">
        <v>132457137</v>
      </c>
      <c r="L19" s="49"/>
      <c r="M19" s="49"/>
      <c r="N19" s="49"/>
    </row>
    <row r="20" spans="1:15">
      <c r="B20" s="58" t="s">
        <v>33</v>
      </c>
      <c r="C20" s="45" t="s">
        <v>33</v>
      </c>
      <c r="D20" s="46" t="s">
        <v>33</v>
      </c>
      <c r="E20" s="46" t="s">
        <v>35</v>
      </c>
      <c r="F20" s="46" t="s">
        <v>33</v>
      </c>
      <c r="G20" s="56" t="s">
        <v>33</v>
      </c>
      <c r="H20" s="56" t="s">
        <v>33</v>
      </c>
      <c r="I20" s="57" t="s">
        <v>33</v>
      </c>
      <c r="J20" s="56" t="s">
        <v>33</v>
      </c>
      <c r="K20" s="49">
        <v>349842744</v>
      </c>
      <c r="L20" s="49"/>
      <c r="M20" s="49"/>
      <c r="N20" s="49"/>
    </row>
    <row r="21" spans="1:15">
      <c r="B21" s="58" t="s">
        <v>33</v>
      </c>
      <c r="C21" s="45" t="s">
        <v>33</v>
      </c>
      <c r="D21" s="46" t="s">
        <v>33</v>
      </c>
      <c r="E21" s="46" t="s">
        <v>48</v>
      </c>
      <c r="F21" s="46" t="s">
        <v>33</v>
      </c>
      <c r="G21" s="56" t="s">
        <v>33</v>
      </c>
      <c r="H21" s="56" t="s">
        <v>33</v>
      </c>
      <c r="I21" s="57" t="s">
        <v>33</v>
      </c>
      <c r="J21" s="56" t="s">
        <v>33</v>
      </c>
      <c r="K21" s="49">
        <v>1410300000</v>
      </c>
      <c r="L21" s="49"/>
      <c r="M21" s="49"/>
      <c r="N21" s="49"/>
    </row>
    <row r="22" spans="1:15">
      <c r="B22" s="58" t="s">
        <v>33</v>
      </c>
      <c r="C22" s="45" t="s">
        <v>33</v>
      </c>
      <c r="D22" s="46" t="s">
        <v>34</v>
      </c>
      <c r="E22" s="46" t="s">
        <v>33</v>
      </c>
      <c r="F22" s="46" t="s">
        <v>33</v>
      </c>
      <c r="G22" s="49">
        <v>1495934253</v>
      </c>
      <c r="H22" s="49">
        <v>1625534253</v>
      </c>
      <c r="I22" s="57" t="s">
        <v>33</v>
      </c>
      <c r="J22" s="56" t="s">
        <v>33</v>
      </c>
      <c r="K22" s="49">
        <v>228960885</v>
      </c>
      <c r="L22" s="49">
        <v>442188290</v>
      </c>
      <c r="M22" s="49">
        <v>1282706848</v>
      </c>
      <c r="N22" s="49">
        <v>1183345963</v>
      </c>
    </row>
    <row r="23" spans="1:15">
      <c r="B23" s="58" t="s">
        <v>33</v>
      </c>
      <c r="C23" s="45" t="s">
        <v>33</v>
      </c>
      <c r="D23" s="46" t="s">
        <v>47</v>
      </c>
      <c r="E23" s="46" t="s">
        <v>33</v>
      </c>
      <c r="F23" s="46" t="s">
        <v>33</v>
      </c>
      <c r="G23" s="49">
        <v>15623034000</v>
      </c>
      <c r="H23" s="49">
        <v>15623034000</v>
      </c>
      <c r="I23" s="57" t="s">
        <v>33</v>
      </c>
      <c r="J23" s="56" t="s">
        <v>33</v>
      </c>
      <c r="K23" s="49">
        <v>1663638996</v>
      </c>
      <c r="L23" s="49">
        <v>3372323745</v>
      </c>
      <c r="M23" s="49">
        <v>13914349251</v>
      </c>
      <c r="N23" s="49">
        <v>12250710255</v>
      </c>
    </row>
    <row r="24" spans="1:15">
      <c r="B24" s="58" t="s">
        <v>33</v>
      </c>
      <c r="C24" s="45" t="s">
        <v>33</v>
      </c>
      <c r="D24" s="46" t="s">
        <v>33</v>
      </c>
      <c r="E24" s="46" t="s">
        <v>33</v>
      </c>
      <c r="F24" s="46" t="s">
        <v>36</v>
      </c>
      <c r="G24" s="49">
        <v>17118968253</v>
      </c>
      <c r="H24" s="49">
        <v>17248568253</v>
      </c>
      <c r="I24" s="57" t="s">
        <v>33</v>
      </c>
      <c r="J24" s="56" t="s">
        <v>33</v>
      </c>
      <c r="K24" s="49">
        <v>1892599881</v>
      </c>
      <c r="L24" s="49">
        <v>3814512035</v>
      </c>
      <c r="M24" s="49">
        <v>15197056099</v>
      </c>
      <c r="N24" s="49">
        <v>13434056218</v>
      </c>
    </row>
    <row r="25" spans="1:15">
      <c r="A25" s="5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 t="s">
        <v>29</v>
      </c>
      <c r="M25" s="60"/>
      <c r="N25" s="60"/>
    </row>
    <row r="26" spans="1:15">
      <c r="A26" s="60"/>
      <c r="B26" s="60"/>
      <c r="C26" s="60" t="s">
        <v>7</v>
      </c>
      <c r="D26" s="60"/>
      <c r="E26" s="60"/>
      <c r="F26" s="60"/>
      <c r="G26" s="60"/>
      <c r="H26" s="60" t="s">
        <v>8</v>
      </c>
      <c r="I26" s="60"/>
      <c r="J26" s="60"/>
      <c r="K26" s="60"/>
      <c r="L26" s="60" t="s">
        <v>9</v>
      </c>
      <c r="M26" s="60"/>
      <c r="N26" s="60"/>
    </row>
    <row r="27" spans="1:1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</row>
    <row r="28" spans="1:15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</row>
    <row r="29" spans="1:15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</row>
    <row r="30" spans="1:15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</row>
    <row r="31" spans="1:15">
      <c r="A31" s="60"/>
      <c r="B31" s="60"/>
      <c r="C31" s="60" t="s">
        <v>30</v>
      </c>
      <c r="D31" s="60"/>
      <c r="E31" s="60"/>
      <c r="F31" s="60"/>
      <c r="G31" s="60"/>
      <c r="H31" s="60" t="s">
        <v>30</v>
      </c>
      <c r="I31" s="60"/>
      <c r="J31" s="60"/>
      <c r="K31" s="60"/>
      <c r="L31" s="60" t="s">
        <v>28</v>
      </c>
      <c r="M31" s="60"/>
      <c r="N31" s="60"/>
    </row>
  </sheetData>
  <pageMargins left="0.18" right="0.2" top="0.22" bottom="0.36" header="0.14000000000000001" footer="0.26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KTCHUKY</vt:lpstr>
      <vt:lpstr>IN_NAM</vt:lpstr>
    </vt:vector>
  </TitlesOfParts>
  <Manager/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ADMIN</cp:lastModifiedBy>
  <cp:lastPrinted>2008-04-29T02:06:32Z</cp:lastPrinted>
  <dcterms:created xsi:type="dcterms:W3CDTF">2005-07-24T05:11:27Z</dcterms:created>
  <dcterms:modified xsi:type="dcterms:W3CDTF">2026-02-26T08:21:55Z</dcterms:modified>
  <cp:category/>
</cp:coreProperties>
</file>