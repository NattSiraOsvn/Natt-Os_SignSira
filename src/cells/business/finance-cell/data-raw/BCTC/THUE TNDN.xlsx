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13_ncr:1_{4166A62F-5832-4F2D-9EF7-980CF2781931}" xr6:coauthVersionLast="47" xr6:coauthVersionMax="47" xr10:uidLastSave="{00000000-0000-0000-0000-000000000000}"/>
  <bookViews>
    <workbookView xWindow="-120" yWindow="-120" windowWidth="29040" windowHeight="15720" tabRatio="507" xr2:uid="{00000000-000D-0000-FFFF-FFFF00000000}"/>
  </bookViews>
  <sheets>
    <sheet name="IN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5" l="1"/>
  <c r="D29" i="15" s="1"/>
</calcChain>
</file>

<file path=xl/sharedStrings.xml><?xml version="1.0" encoding="utf-8"?>
<sst xmlns="http://schemas.openxmlformats.org/spreadsheetml/2006/main" count="59" uniqueCount="49">
  <si>
    <t>3</t>
  </si>
  <si>
    <t>4</t>
  </si>
  <si>
    <t>Thuyết
 minh</t>
  </si>
  <si>
    <t>714-716 Trần Hưng Đạo, Phường 02, Quận 5, Thành phố Hồ Chí Minh, Việt Nam</t>
  </si>
  <si>
    <t>Từ ngày 01/01/25 đến ngày 31/12/25</t>
  </si>
  <si>
    <t>Số năm nay</t>
  </si>
  <si>
    <t>Mã số thuế : 0316379948</t>
  </si>
  <si>
    <t>Mã số</t>
  </si>
  <si>
    <t>CÔNG TY TNHH TÂM LUXURY</t>
  </si>
  <si>
    <t>BÁO CÁO KẾT QUẢ HOẠT ĐỘNG KINH DOANH</t>
  </si>
  <si>
    <t>CHỈ TIÊU</t>
  </si>
  <si>
    <t>1. Doanh thu bán hàng và cung cấp dịch vụ</t>
  </si>
  <si>
    <t>01</t>
  </si>
  <si>
    <t>VI.25</t>
  </si>
  <si>
    <t>2. Các khoản giảm trừ doanh thu</t>
  </si>
  <si>
    <t>02</t>
  </si>
  <si>
    <t/>
  </si>
  <si>
    <t>3. Doanh thu thuần về bán hàng và cung cấp dịch vụ (10=01-02)</t>
  </si>
  <si>
    <t>10</t>
  </si>
  <si>
    <t>4. Giá vốn hàng bán</t>
  </si>
  <si>
    <t>11</t>
  </si>
  <si>
    <t>VI.27</t>
  </si>
  <si>
    <t>5. Lợi nhuận gộp về bán hàng và cung cấp dịch vụ (20=10-11)</t>
  </si>
  <si>
    <t>20</t>
  </si>
  <si>
    <t>6. Doanh thu hoạt  động tài chính</t>
  </si>
  <si>
    <t>21</t>
  </si>
  <si>
    <t>VI.26</t>
  </si>
  <si>
    <t>7. Chi phí hoạt động tài chính</t>
  </si>
  <si>
    <t>22</t>
  </si>
  <si>
    <t>VI.28</t>
  </si>
  <si>
    <t xml:space="preserve">  - Trong đó lãi vay</t>
  </si>
  <si>
    <t>23</t>
  </si>
  <si>
    <t>8. Chi phí bán hàng</t>
  </si>
  <si>
    <t>25</t>
  </si>
  <si>
    <t>9. Chi phí quản lý doanh nghiệp</t>
  </si>
  <si>
    <t>26</t>
  </si>
  <si>
    <t>10. Lợi nhuận thuần từ họat động kinh doanh {30=20+(21-22)-(24+25)}</t>
  </si>
  <si>
    <t>30</t>
  </si>
  <si>
    <t>11. Thu nhập khác</t>
  </si>
  <si>
    <t>31</t>
  </si>
  <si>
    <t>12.  Chi phí khác</t>
  </si>
  <si>
    <t>32</t>
  </si>
  <si>
    <t>13. Lợi nhuận khác (40=31-32)</t>
  </si>
  <si>
    <t>40</t>
  </si>
  <si>
    <t>14. Tổng lợi nhuận kế toán trước thuế (50=30+40)</t>
  </si>
  <si>
    <t>50</t>
  </si>
  <si>
    <t>Chi phi loai trừ</t>
  </si>
  <si>
    <t>Thu nhập tính thuế</t>
  </si>
  <si>
    <t>Thuế TNDN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</si>
</sst>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2" x14ac:knownFonts="1">
    <font>
      <sz val="10"/>
      <name val="Arial"/>
      <family val="2"/>
    </font>
    <font>
      <sz val="10"/>
      <name val="MS Sans Serif"/>
      <family val="2"/>
    </font>
    <font>
      <b/>
      <sz val="10"/>
      <name val="Times New Roman"/>
      <family val="1"/>
    </font>
    <font>
      <b/>
      <sz val="10"/>
      <name val="Tahoma"/>
      <family val="2"/>
    </font>
    <font>
      <sz val="12"/>
      <name val="Tahoma"/>
      <family val="2"/>
    </font>
    <font>
      <sz val="14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name val="Arial"/>
      <family val="2"/>
    </font>
    <font>
      <b/>
      <sz val="12"/>
      <name val="Tahoma"/>
      <family val="2"/>
    </font>
    <font>
      <b/>
      <sz val="14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164" fontId="3" fillId="0" borderId="0" xfId="2" applyNumberFormat="1" applyFont="1" applyAlignment="1">
      <alignment vertical="top" wrapText="1"/>
    </xf>
    <xf numFmtId="43" fontId="4" fillId="0" borderId="0" xfId="1" applyFont="1"/>
    <xf numFmtId="164" fontId="4" fillId="0" borderId="0" xfId="2" applyNumberFormat="1" applyFont="1"/>
    <xf numFmtId="164" fontId="5" fillId="0" borderId="0" xfId="2" applyNumberFormat="1" applyFont="1"/>
    <xf numFmtId="49" fontId="3" fillId="0" borderId="0" xfId="2" quotePrefix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37" fontId="3" fillId="0" borderId="0" xfId="1" applyNumberFormat="1" applyFont="1" applyBorder="1" applyAlignment="1">
      <alignment vertical="center"/>
    </xf>
    <xf numFmtId="49" fontId="7" fillId="0" borderId="0" xfId="2" applyNumberFormat="1" applyFont="1" applyAlignment="1">
      <alignment horizontal="center" vertical="center" wrapText="1"/>
    </xf>
    <xf numFmtId="49" fontId="7" fillId="0" borderId="0" xfId="2" quotePrefix="1" applyNumberFormat="1" applyFont="1" applyAlignment="1">
      <alignment horizontal="center" vertical="center" wrapText="1"/>
    </xf>
    <xf numFmtId="164" fontId="4" fillId="0" borderId="0" xfId="1" applyNumberFormat="1" applyFont="1" applyBorder="1"/>
    <xf numFmtId="164" fontId="6" fillId="0" borderId="1" xfId="2" applyNumberFormat="1" applyFont="1" applyBorder="1"/>
    <xf numFmtId="164" fontId="4" fillId="0" borderId="2" xfId="2" applyNumberFormat="1" applyFont="1" applyBorder="1"/>
    <xf numFmtId="37" fontId="3" fillId="0" borderId="0" xfId="1" applyNumberFormat="1" applyFont="1" applyBorder="1" applyAlignment="1">
      <alignment vertical="center" wrapText="1"/>
    </xf>
    <xf numFmtId="49" fontId="3" fillId="0" borderId="0" xfId="2" applyNumberFormat="1" applyFont="1" applyAlignment="1">
      <alignment vertical="center" wrapText="1"/>
    </xf>
    <xf numFmtId="164" fontId="6" fillId="0" borderId="3" xfId="2" applyNumberFormat="1" applyFont="1" applyBorder="1"/>
    <xf numFmtId="1" fontId="3" fillId="0" borderId="4" xfId="2" applyNumberFormat="1" applyFont="1" applyBorder="1" applyAlignment="1">
      <alignment horizontal="center" vertical="center" wrapText="1"/>
    </xf>
    <xf numFmtId="1" fontId="3" fillId="0" borderId="5" xfId="2" quotePrefix="1" applyNumberFormat="1" applyFont="1" applyBorder="1" applyAlignment="1">
      <alignment horizontal="center" vertical="center" wrapText="1"/>
    </xf>
    <xf numFmtId="164" fontId="3" fillId="0" borderId="5" xfId="1" quotePrefix="1" applyNumberFormat="1" applyFont="1" applyBorder="1" applyAlignment="1">
      <alignment horizontal="center" vertical="center" wrapText="1"/>
    </xf>
    <xf numFmtId="164" fontId="4" fillId="0" borderId="6" xfId="2" applyNumberFormat="1" applyFont="1" applyBorder="1"/>
    <xf numFmtId="164" fontId="4" fillId="0" borderId="6" xfId="1" applyNumberFormat="1" applyFont="1" applyBorder="1"/>
    <xf numFmtId="49" fontId="6" fillId="0" borderId="3" xfId="2" applyNumberFormat="1" applyFont="1" applyBorder="1" applyAlignment="1">
      <alignment wrapText="1"/>
    </xf>
    <xf numFmtId="49" fontId="6" fillId="0" borderId="1" xfId="2" applyNumberFormat="1" applyFont="1" applyBorder="1" applyAlignment="1">
      <alignment wrapText="1"/>
    </xf>
    <xf numFmtId="49" fontId="4" fillId="0" borderId="2" xfId="2" applyNumberFormat="1" applyFont="1" applyBorder="1" applyAlignment="1">
      <alignment wrapText="1"/>
    </xf>
    <xf numFmtId="164" fontId="3" fillId="0" borderId="4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6" fillId="0" borderId="3" xfId="1" applyNumberFormat="1" applyFont="1" applyBorder="1" applyAlignment="1">
      <alignment shrinkToFit="1"/>
    </xf>
    <xf numFmtId="165" fontId="6" fillId="0" borderId="1" xfId="1" applyNumberFormat="1" applyFont="1" applyBorder="1" applyAlignment="1">
      <alignment shrinkToFit="1"/>
    </xf>
    <xf numFmtId="165" fontId="4" fillId="0" borderId="2" xfId="1" applyNumberFormat="1" applyFont="1" applyBorder="1" applyAlignment="1">
      <alignment shrinkToFit="1"/>
    </xf>
    <xf numFmtId="49" fontId="6" fillId="0" borderId="1" xfId="2" quotePrefix="1" applyNumberFormat="1" applyFont="1" applyBorder="1" applyAlignment="1">
      <alignment wrapText="1"/>
    </xf>
    <xf numFmtId="164" fontId="6" fillId="0" borderId="1" xfId="2" quotePrefix="1" applyNumberFormat="1" applyFont="1" applyBorder="1"/>
    <xf numFmtId="49" fontId="3" fillId="0" borderId="1" xfId="2" quotePrefix="1" applyNumberFormat="1" applyFont="1" applyBorder="1" applyAlignment="1">
      <alignment wrapText="1"/>
    </xf>
    <xf numFmtId="164" fontId="3" fillId="0" borderId="1" xfId="2" quotePrefix="1" applyNumberFormat="1" applyFont="1" applyBorder="1"/>
    <xf numFmtId="165" fontId="3" fillId="0" borderId="1" xfId="1" applyNumberFormat="1" applyFont="1" applyBorder="1" applyAlignment="1">
      <alignment shrinkToFit="1"/>
    </xf>
    <xf numFmtId="164" fontId="10" fillId="0" borderId="0" xfId="2" applyNumberFormat="1" applyFont="1"/>
    <xf numFmtId="164" fontId="11" fillId="0" borderId="0" xfId="2" applyNumberFormat="1" applyFont="1"/>
    <xf numFmtId="164" fontId="5" fillId="0" borderId="0" xfId="2" applyNumberFormat="1" applyFont="1" applyAlignment="1">
      <alignment horizontal="center" vertical="center" wrapText="1"/>
    </xf>
    <xf numFmtId="164" fontId="4" fillId="0" borderId="0" xfId="2" applyNumberFormat="1" applyFont="1" applyAlignment="1">
      <alignment horizontal="center" vertical="center" wrapText="1"/>
    </xf>
  </cellXfs>
  <cellStyles count="3">
    <cellStyle name="Bình thường" xfId="0" builtinId="0"/>
    <cellStyle name="Dấu phẩy" xfId="1" builtinId="3"/>
    <cellStyle name="Normal_CDKT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34</xdr:row>
      <xdr:rowOff>47625</xdr:rowOff>
    </xdr:from>
    <xdr:ext cx="923925" cy="266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7048500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2400300</xdr:colOff>
      <xdr:row>34</xdr:row>
      <xdr:rowOff>47625</xdr:rowOff>
    </xdr:from>
    <xdr:ext cx="1209675" cy="2667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0030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466725</xdr:colOff>
      <xdr:row>34</xdr:row>
      <xdr:rowOff>47625</xdr:rowOff>
    </xdr:from>
    <xdr:ext cx="1209675" cy="2667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7675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0</xdr:colOff>
      <xdr:row>38</xdr:row>
      <xdr:rowOff>114300</xdr:rowOff>
    </xdr:from>
    <xdr:ext cx="1933575" cy="266700"/>
    <xdr:sp macro="" textlink="">
      <xdr:nvSpPr>
        <xdr:cNvPr id="5" name="TextBox_TenNguoiLa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8029575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3</xdr:col>
      <xdr:colOff>104775</xdr:colOff>
      <xdr:row>33</xdr:row>
      <xdr:rowOff>0</xdr:rowOff>
    </xdr:from>
    <xdr:ext cx="1914525" cy="266700"/>
    <xdr:sp macro="" textlink="">
      <xdr:nvSpPr>
        <xdr:cNvPr id="6" name="TextBox_NgayInS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14800" y="677227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1924050</xdr:colOff>
      <xdr:row>38</xdr:row>
      <xdr:rowOff>28575</xdr:rowOff>
    </xdr:from>
    <xdr:ext cx="2028825" cy="419100"/>
    <xdr:sp macro="" textlink="">
      <xdr:nvSpPr>
        <xdr:cNvPr id="7" name="TextBox_TenKeToanTruo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24050" y="7943850"/>
          <a:ext cx="2028825" cy="419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2</xdr:col>
      <xdr:colOff>504825</xdr:colOff>
      <xdr:row>38</xdr:row>
      <xdr:rowOff>104775</xdr:rowOff>
    </xdr:from>
    <xdr:ext cx="2333625" cy="266700"/>
    <xdr:sp macro="" textlink="">
      <xdr:nvSpPr>
        <xdr:cNvPr id="8" name="TextBox_TenGiamDo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000500" y="8020050"/>
          <a:ext cx="23336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Võ Thị Thanh Hiền</a:t>
          </a:r>
        </a:p>
      </xdr:txBody>
    </xdr:sp>
    <xdr:clientData/>
  </xdr:oneCellAnchor>
  <xdr:oneCellAnchor>
    <xdr:from>
      <xdr:col>2</xdr:col>
      <xdr:colOff>228600</xdr:colOff>
      <xdr:row>0</xdr:row>
      <xdr:rowOff>95250</xdr:rowOff>
    </xdr:from>
    <xdr:ext cx="2381250" cy="600075"/>
    <xdr:sp macro="" textlink="">
      <xdr:nvSpPr>
        <xdr:cNvPr id="9" name="TextBox_CheDoKeToa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724275" y="95250"/>
          <a:ext cx="2381250" cy="6000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latin typeface="Times New Roman" pitchFamily="18" charset="0"/>
              <a:cs typeface="Times New Roman" pitchFamily="18" charset="0"/>
            </a:rPr>
            <a:t> Mẫu số B02 – DN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DE34-DBFF-4B06-B6D5-5A33AA2F8A02}">
  <sheetPr codeName="Sheet2"/>
  <dimension ref="A1:IS33"/>
  <sheetViews>
    <sheetView showGridLines="0" showZeros="0" tabSelected="1" topLeftCell="A4" workbookViewId="0">
      <selection activeCell="D29" sqref="D29"/>
    </sheetView>
  </sheetViews>
  <sheetFormatPr defaultRowHeight="18" x14ac:dyDescent="0.25"/>
  <cols>
    <col min="1" max="1" width="46.7109375" style="3" customWidth="1"/>
    <col min="2" max="2" width="5.7109375" style="3" customWidth="1"/>
    <col min="3" max="3" width="7.7109375" style="3" customWidth="1"/>
    <col min="4" max="4" width="17.7109375" style="10" customWidth="1"/>
    <col min="5" max="5" width="32" style="3" customWidth="1"/>
    <col min="6" max="6" width="17" style="3" bestFit="1" customWidth="1"/>
    <col min="7" max="24" width="9.140625" style="3"/>
    <col min="25" max="25" width="9.140625" style="4"/>
    <col min="26" max="253" width="9.140625" style="3"/>
    <col min="254" max="16384" width="9.140625" style="4"/>
  </cols>
  <sheetData>
    <row r="1" spans="1:5" x14ac:dyDescent="0.25">
      <c r="A1" s="29" t="s">
        <v>8</v>
      </c>
      <c r="B1" s="13"/>
      <c r="C1" s="13"/>
      <c r="D1" s="13"/>
      <c r="E1" s="2"/>
    </row>
    <row r="2" spans="1:5" x14ac:dyDescent="0.25">
      <c r="A2" s="29" t="s">
        <v>3</v>
      </c>
      <c r="B2" s="14"/>
      <c r="C2" s="14"/>
      <c r="D2" s="14"/>
      <c r="E2" s="2"/>
    </row>
    <row r="3" spans="1:5" x14ac:dyDescent="0.25">
      <c r="A3" s="30" t="s">
        <v>6</v>
      </c>
      <c r="B3" s="5"/>
      <c r="C3" s="6"/>
      <c r="D3" s="7"/>
      <c r="E3" s="2"/>
    </row>
    <row r="4" spans="1:5" x14ac:dyDescent="0.25">
      <c r="A4" s="28"/>
      <c r="B4" s="8"/>
      <c r="C4" s="9"/>
      <c r="D4" s="9"/>
      <c r="E4" s="2"/>
    </row>
    <row r="5" spans="1:5" ht="21.95" customHeight="1" x14ac:dyDescent="0.25">
      <c r="A5" s="41" t="s">
        <v>9</v>
      </c>
      <c r="B5" s="41"/>
      <c r="C5" s="41"/>
      <c r="D5" s="41"/>
      <c r="E5" s="2"/>
    </row>
    <row r="6" spans="1:5" x14ac:dyDescent="0.25">
      <c r="A6" s="42" t="s">
        <v>4</v>
      </c>
      <c r="B6" s="42"/>
      <c r="C6" s="42"/>
      <c r="D6" s="42"/>
      <c r="E6" s="2"/>
    </row>
    <row r="7" spans="1:5" x14ac:dyDescent="0.25">
      <c r="A7" s="1"/>
      <c r="B7" s="5"/>
      <c r="C7" s="6"/>
      <c r="D7" s="7"/>
      <c r="E7" s="2"/>
    </row>
    <row r="8" spans="1:5" ht="25.5" x14ac:dyDescent="0.25">
      <c r="A8" s="24" t="s">
        <v>10</v>
      </c>
      <c r="B8" s="25" t="s">
        <v>7</v>
      </c>
      <c r="C8" s="26" t="s">
        <v>2</v>
      </c>
      <c r="D8" s="27" t="s">
        <v>5</v>
      </c>
    </row>
    <row r="9" spans="1:5" x14ac:dyDescent="0.25">
      <c r="A9" s="16">
        <v>1</v>
      </c>
      <c r="B9" s="17">
        <v>2</v>
      </c>
      <c r="C9" s="17" t="s">
        <v>0</v>
      </c>
      <c r="D9" s="18" t="s">
        <v>1</v>
      </c>
    </row>
    <row r="10" spans="1:5" hidden="1" x14ac:dyDescent="0.25">
      <c r="A10" s="21"/>
      <c r="B10" s="15"/>
      <c r="C10" s="15"/>
      <c r="D10" s="31"/>
    </row>
    <row r="11" spans="1:5" hidden="1" x14ac:dyDescent="0.25">
      <c r="A11" s="22"/>
      <c r="B11" s="11"/>
      <c r="C11" s="11"/>
      <c r="D11" s="32"/>
    </row>
    <row r="12" spans="1:5" x14ac:dyDescent="0.25">
      <c r="A12" s="34" t="s">
        <v>11</v>
      </c>
      <c r="B12" s="35" t="s">
        <v>12</v>
      </c>
      <c r="C12" s="35" t="s">
        <v>13</v>
      </c>
      <c r="D12" s="32">
        <v>318025558745</v>
      </c>
    </row>
    <row r="13" spans="1:5" x14ac:dyDescent="0.25">
      <c r="A13" s="34" t="s">
        <v>14</v>
      </c>
      <c r="B13" s="35" t="s">
        <v>15</v>
      </c>
      <c r="C13" s="35" t="s">
        <v>16</v>
      </c>
      <c r="D13" s="32">
        <v>7235454869</v>
      </c>
    </row>
    <row r="14" spans="1:5" ht="26.25" x14ac:dyDescent="0.25">
      <c r="A14" s="34" t="s">
        <v>17</v>
      </c>
      <c r="B14" s="35" t="s">
        <v>18</v>
      </c>
      <c r="C14" s="35" t="s">
        <v>16</v>
      </c>
      <c r="D14" s="32">
        <v>310790103876</v>
      </c>
    </row>
    <row r="15" spans="1:5" x14ac:dyDescent="0.25">
      <c r="A15" s="34" t="s">
        <v>19</v>
      </c>
      <c r="B15" s="35" t="s">
        <v>20</v>
      </c>
      <c r="C15" s="35" t="s">
        <v>21</v>
      </c>
      <c r="D15" s="32">
        <v>246751685061</v>
      </c>
    </row>
    <row r="16" spans="1:5" ht="26.25" x14ac:dyDescent="0.25">
      <c r="A16" s="34" t="s">
        <v>22</v>
      </c>
      <c r="B16" s="35" t="s">
        <v>23</v>
      </c>
      <c r="C16" s="35" t="s">
        <v>16</v>
      </c>
      <c r="D16" s="32">
        <v>64038418815</v>
      </c>
    </row>
    <row r="17" spans="1:253" x14ac:dyDescent="0.25">
      <c r="A17" s="34" t="s">
        <v>24</v>
      </c>
      <c r="B17" s="35" t="s">
        <v>25</v>
      </c>
      <c r="C17" s="35" t="s">
        <v>26</v>
      </c>
      <c r="D17" s="32">
        <v>14954538</v>
      </c>
    </row>
    <row r="18" spans="1:253" x14ac:dyDescent="0.25">
      <c r="A18" s="34" t="s">
        <v>27</v>
      </c>
      <c r="B18" s="35" t="s">
        <v>28</v>
      </c>
      <c r="C18" s="35" t="s">
        <v>29</v>
      </c>
      <c r="D18" s="32">
        <v>2764890790</v>
      </c>
    </row>
    <row r="19" spans="1:253" x14ac:dyDescent="0.25">
      <c r="A19" s="34" t="s">
        <v>30</v>
      </c>
      <c r="B19" s="35" t="s">
        <v>31</v>
      </c>
      <c r="C19" s="35" t="s">
        <v>16</v>
      </c>
      <c r="D19" s="32"/>
    </row>
    <row r="20" spans="1:253" x14ac:dyDescent="0.25">
      <c r="A20" s="34" t="s">
        <v>32</v>
      </c>
      <c r="B20" s="35" t="s">
        <v>33</v>
      </c>
      <c r="C20" s="35" t="s">
        <v>16</v>
      </c>
      <c r="D20" s="32">
        <v>8465080878</v>
      </c>
    </row>
    <row r="21" spans="1:253" x14ac:dyDescent="0.25">
      <c r="A21" s="34" t="s">
        <v>34</v>
      </c>
      <c r="B21" s="35" t="s">
        <v>35</v>
      </c>
      <c r="C21" s="35" t="s">
        <v>16</v>
      </c>
      <c r="D21" s="32">
        <v>13092494775</v>
      </c>
    </row>
    <row r="22" spans="1:253" ht="26.25" x14ac:dyDescent="0.25">
      <c r="A22" s="34" t="s">
        <v>36</v>
      </c>
      <c r="B22" s="35" t="s">
        <v>37</v>
      </c>
      <c r="C22" s="35" t="s">
        <v>16</v>
      </c>
      <c r="D22" s="32">
        <v>39730906910</v>
      </c>
    </row>
    <row r="23" spans="1:253" x14ac:dyDescent="0.25">
      <c r="A23" s="34" t="s">
        <v>38</v>
      </c>
      <c r="B23" s="35" t="s">
        <v>39</v>
      </c>
      <c r="C23" s="35" t="s">
        <v>16</v>
      </c>
      <c r="D23" s="32">
        <v>28703812</v>
      </c>
    </row>
    <row r="24" spans="1:253" x14ac:dyDescent="0.25">
      <c r="A24" s="34" t="s">
        <v>40</v>
      </c>
      <c r="B24" s="35" t="s">
        <v>41</v>
      </c>
      <c r="C24" s="35" t="s">
        <v>16</v>
      </c>
      <c r="D24" s="32">
        <v>6978078494</v>
      </c>
    </row>
    <row r="25" spans="1:253" x14ac:dyDescent="0.25">
      <c r="A25" s="34" t="s">
        <v>42</v>
      </c>
      <c r="B25" s="35" t="s">
        <v>43</v>
      </c>
      <c r="C25" s="35" t="s">
        <v>16</v>
      </c>
      <c r="D25" s="32">
        <v>-6949374682</v>
      </c>
    </row>
    <row r="26" spans="1:253" x14ac:dyDescent="0.25">
      <c r="A26" s="34" t="s">
        <v>44</v>
      </c>
      <c r="B26" s="35" t="s">
        <v>45</v>
      </c>
      <c r="C26" s="35" t="s">
        <v>16</v>
      </c>
      <c r="D26" s="32">
        <v>32781532228</v>
      </c>
    </row>
    <row r="27" spans="1:253" x14ac:dyDescent="0.25">
      <c r="A27" s="34" t="s">
        <v>46</v>
      </c>
      <c r="B27" s="35"/>
      <c r="C27" s="35"/>
      <c r="D27" s="32">
        <v>8175978494</v>
      </c>
    </row>
    <row r="28" spans="1:253" x14ac:dyDescent="0.25">
      <c r="A28" s="34" t="s">
        <v>47</v>
      </c>
      <c r="B28" s="35"/>
      <c r="C28" s="35"/>
      <c r="D28" s="32">
        <f>D26+D27</f>
        <v>40957510722</v>
      </c>
    </row>
    <row r="29" spans="1:253" s="40" customFormat="1" x14ac:dyDescent="0.25">
      <c r="A29" s="36" t="s">
        <v>48</v>
      </c>
      <c r="B29" s="37"/>
      <c r="C29" s="37"/>
      <c r="D29" s="38">
        <f>ROUND(D28*0.2,0)</f>
        <v>8191502144</v>
      </c>
      <c r="E29" s="39"/>
      <c r="F29" s="3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</row>
    <row r="30" spans="1:253" x14ac:dyDescent="0.25">
      <c r="A30" s="34"/>
      <c r="B30" s="35"/>
      <c r="C30" s="35"/>
      <c r="D30" s="32"/>
    </row>
    <row r="31" spans="1:253" hidden="1" x14ac:dyDescent="0.25">
      <c r="A31" s="22"/>
      <c r="B31" s="11"/>
      <c r="C31" s="11"/>
      <c r="D31" s="32"/>
    </row>
    <row r="32" spans="1:253" hidden="1" x14ac:dyDescent="0.25">
      <c r="A32" s="23"/>
      <c r="B32" s="12"/>
      <c r="C32" s="12"/>
      <c r="D32" s="33"/>
    </row>
    <row r="33" spans="1:4" x14ac:dyDescent="0.25">
      <c r="A33" s="19"/>
      <c r="B33" s="19"/>
      <c r="C33" s="19"/>
      <c r="D33" s="20"/>
    </row>
  </sheetData>
  <mergeCells count="2">
    <mergeCell ref="A5:D5"/>
    <mergeCell ref="A6:D6"/>
  </mergeCells>
  <pageMargins left="0.56999999999999995" right="0.2" top="0.36" bottom="0.39" header="0.22" footer="0.3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2008-10-12T09:08:13Z</cp:lastPrinted>
  <dcterms:created xsi:type="dcterms:W3CDTF">2005-07-18T02:22:23Z</dcterms:created>
  <dcterms:modified xsi:type="dcterms:W3CDTF">2026-02-26T08:01:22Z</dcterms:modified>
  <cp:category/>
</cp:coreProperties>
</file>